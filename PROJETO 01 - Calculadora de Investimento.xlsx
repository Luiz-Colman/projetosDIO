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edb29961de3645/Cursos/DIO-Excel-com-IA/"/>
    </mc:Choice>
  </mc:AlternateContent>
  <xr:revisionPtr revIDLastSave="0" documentId="8_{8C0AA922-129A-434A-8EF6-A65501659E3E}" xr6:coauthVersionLast="47" xr6:coauthVersionMax="47" xr10:uidLastSave="{00000000-0000-0000-0000-000000000000}"/>
  <bookViews>
    <workbookView xWindow="28680" yWindow="-120" windowWidth="29040" windowHeight="15720" xr2:uid="{FAF0AA8B-4D3A-493F-B7F8-320BBD300114}"/>
  </bookViews>
  <sheets>
    <sheet name="Calculadora de Investimentos" sheetId="2" r:id="rId1"/>
    <sheet name="Perguntas de Negócios" sheetId="1" r:id="rId2"/>
    <sheet name="Tabela de Apoio" sheetId="3" r:id="rId3"/>
  </sheets>
  <definedNames>
    <definedName name="aporte">'Calculadora de Investimentos'!$D$22</definedName>
    <definedName name="periodo">'Calculadora de Investimentos'!$D$23</definedName>
    <definedName name="rendimento_carteira">'Calculadora de Investimentos'!$D$18</definedName>
    <definedName name="tabela_apoio">'Tabela de Apoio'!$A$1:$D$19</definedName>
    <definedName name="taxa_mensal">'Calculadora de Investimentos'!$D$24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2" l="1"/>
  <c r="D40" i="2" s="1"/>
  <c r="C41" i="2"/>
  <c r="D41" i="2" s="1"/>
  <c r="C42" i="2"/>
  <c r="D42" i="2" s="1"/>
  <c r="C43" i="2"/>
  <c r="D43" i="2" s="1"/>
  <c r="C44" i="2"/>
  <c r="D44" i="2" s="1"/>
  <c r="C39" i="2"/>
  <c r="D39" i="2" s="1"/>
  <c r="D36" i="2"/>
  <c r="D24" i="2"/>
  <c r="C33" i="2" s="1"/>
  <c r="D33" i="2" s="1"/>
  <c r="D19" i="2"/>
  <c r="D45" i="2" l="1"/>
  <c r="C31" i="2"/>
  <c r="D31" i="2" s="1"/>
  <c r="C32" i="2"/>
  <c r="D32" i="2" s="1"/>
  <c r="D25" i="2"/>
  <c r="D26" i="2" s="1"/>
  <c r="C30" i="2"/>
  <c r="D30" i="2" s="1"/>
  <c r="C29" i="2"/>
  <c r="D29" i="2" s="1"/>
</calcChain>
</file>

<file path=xl/sharedStrings.xml><?xml version="1.0" encoding="utf-8"?>
<sst xmlns="http://schemas.openxmlformats.org/spreadsheetml/2006/main" count="87" uniqueCount="52">
  <si>
    <t>Quanto investir por mês?</t>
  </si>
  <si>
    <t>Por quantos anos?</t>
  </si>
  <si>
    <t>Taxa de rendimento mensal?</t>
  </si>
  <si>
    <t>Patrimônio acumulado?</t>
  </si>
  <si>
    <t>Dividendos mensais?</t>
  </si>
  <si>
    <t>CALCULADORA DE INVESTIMENTOS</t>
  </si>
  <si>
    <t>Quanto em 2 anos ?</t>
  </si>
  <si>
    <t>Quanto em 5 anos ?</t>
  </si>
  <si>
    <t>Quanto em 10 anos ?</t>
  </si>
  <si>
    <t>Quanto em 20 anos ?</t>
  </si>
  <si>
    <t>Quanto em 30 anos ?</t>
  </si>
  <si>
    <t>Cenários por Anos</t>
  </si>
  <si>
    <t>Dividendos</t>
  </si>
  <si>
    <t>Configurações</t>
  </si>
  <si>
    <t>Salário</t>
  </si>
  <si>
    <t>Rendimento Carteira</t>
  </si>
  <si>
    <t>Perfil</t>
  </si>
  <si>
    <t>AGRESSIVO</t>
  </si>
  <si>
    <t>MODERADO</t>
  </si>
  <si>
    <t>CONSERVADOR</t>
  </si>
  <si>
    <t>Valor a ser investido por mês</t>
  </si>
  <si>
    <t>TIPO DE FII</t>
  </si>
  <si>
    <t>PAPEL</t>
  </si>
  <si>
    <t>TIJOLO</t>
  </si>
  <si>
    <t>HÍBRIDOS</t>
  </si>
  <si>
    <t>FOF</t>
  </si>
  <si>
    <t>DESENVOLVIMENTO</t>
  </si>
  <si>
    <t>HOTELARIAS</t>
  </si>
  <si>
    <t>Porcentual Sugerido</t>
  </si>
  <si>
    <t>Valores</t>
  </si>
  <si>
    <t>PERFIL</t>
  </si>
  <si>
    <t>Chave Composta</t>
  </si>
  <si>
    <t>CONSERVADOR-PAPEL</t>
  </si>
  <si>
    <t>CONSERVADOR-TIJOLO</t>
  </si>
  <si>
    <t>CONSERVADOR-HÍBRIDOS</t>
  </si>
  <si>
    <t>CONSERVADOR-FOF</t>
  </si>
  <si>
    <t>CONSERVADOR-DESENVOLVIMENTO</t>
  </si>
  <si>
    <t>CONSERVADOR-HOTELARIAS</t>
  </si>
  <si>
    <t>MODERADO-PAPEL</t>
  </si>
  <si>
    <t>MODERADO-TIJOLO</t>
  </si>
  <si>
    <t>MODERADO-HÍBRIDOS</t>
  </si>
  <si>
    <t>MODERADO-FOF</t>
  </si>
  <si>
    <t>MODERADO-DESENVOLVIMENTO</t>
  </si>
  <si>
    <t>MODERADO-HOTELARIAS</t>
  </si>
  <si>
    <t>AGRESSIVO-PAPEL</t>
  </si>
  <si>
    <t>AGRESSIVO-TIJOLO</t>
  </si>
  <si>
    <t>AGRESSIVO-HÍBRIDOS</t>
  </si>
  <si>
    <t>AGRESSIVO-FOF</t>
  </si>
  <si>
    <t>AGRESSIVO-DESENVOLVIMENTO</t>
  </si>
  <si>
    <t>AGRESSIVO-HOTELARIAS</t>
  </si>
  <si>
    <t>%</t>
  </si>
  <si>
    <t>Sugestão de Investimentos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</si>
</sst>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72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/>
      <right/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/>
      <top style="medium">
        <color theme="0" tint="-4.9989318521683403E-2"/>
      </top>
      <bottom style="medium">
        <color theme="0" tint="-4.9989318521683403E-2"/>
      </bottom>
      <diagonal/>
    </border>
    <border>
      <left/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/>
      <top style="medium">
        <color theme="0" tint="-4.9989318521683403E-2"/>
      </top>
      <bottom style="medium">
        <color indexed="64"/>
      </bottom>
      <diagonal/>
    </border>
    <border>
      <left/>
      <right/>
      <top style="medium">
        <color theme="0" tint="-4.9989318521683403E-2"/>
      </top>
      <bottom style="medium">
        <color indexed="64"/>
      </bottom>
      <diagonal/>
    </border>
    <border>
      <left/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indexed="64"/>
      </right>
      <top/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medium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theme="0" tint="-4.9989318521683403E-2"/>
      </bottom>
      <diagonal/>
    </border>
    <border>
      <left style="medium">
        <color indexed="64"/>
      </left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indexed="64"/>
      </left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theme="0" tint="-0.24994659260841701"/>
      </bottom>
      <diagonal/>
    </border>
    <border>
      <left/>
      <right/>
      <top style="medium">
        <color indexed="64"/>
      </top>
      <bottom style="medium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theme="0" tint="-0.2499465926084170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4">
    <xf numFmtId="0" fontId="0" fillId="0" borderId="0" xfId="0"/>
    <xf numFmtId="0" fontId="4" fillId="3" borderId="2" xfId="0" applyFont="1" applyFill="1" applyBorder="1" applyAlignment="1">
      <alignment horizontal="left" vertical="center" indent="1"/>
    </xf>
    <xf numFmtId="0" fontId="4" fillId="3" borderId="3" xfId="0" applyFont="1" applyFill="1" applyBorder="1" applyAlignment="1">
      <alignment horizontal="left" vertical="center" indent="1"/>
    </xf>
    <xf numFmtId="0" fontId="3" fillId="0" borderId="8" xfId="0" applyFont="1" applyFill="1" applyBorder="1" applyAlignment="1">
      <alignment horizontal="center" vertical="center"/>
    </xf>
    <xf numFmtId="10" fontId="3" fillId="0" borderId="8" xfId="2" applyNumberFormat="1" applyFont="1" applyFill="1" applyBorder="1" applyAlignment="1">
      <alignment horizontal="center" vertical="center"/>
    </xf>
    <xf numFmtId="0" fontId="7" fillId="0" borderId="0" xfId="0" applyFont="1"/>
    <xf numFmtId="8" fontId="0" fillId="4" borderId="10" xfId="0" applyNumberFormat="1" applyFill="1" applyBorder="1"/>
    <xf numFmtId="0" fontId="0" fillId="4" borderId="11" xfId="0" applyFill="1" applyBorder="1"/>
    <xf numFmtId="8" fontId="0" fillId="4" borderId="12" xfId="0" applyNumberFormat="1" applyFill="1" applyBorder="1"/>
    <xf numFmtId="0" fontId="0" fillId="4" borderId="13" xfId="0" applyFill="1" applyBorder="1"/>
    <xf numFmtId="8" fontId="0" fillId="4" borderId="14" xfId="0" applyNumberFormat="1" applyFill="1" applyBorder="1"/>
    <xf numFmtId="8" fontId="0" fillId="4" borderId="15" xfId="0" applyNumberFormat="1" applyFill="1" applyBorder="1"/>
    <xf numFmtId="0" fontId="0" fillId="4" borderId="16" xfId="0" applyFill="1" applyBorder="1"/>
    <xf numFmtId="8" fontId="0" fillId="4" borderId="17" xfId="0" applyNumberFormat="1" applyFill="1" applyBorder="1"/>
    <xf numFmtId="8" fontId="0" fillId="4" borderId="18" xfId="0" applyNumberFormat="1" applyFill="1" applyBorder="1"/>
    <xf numFmtId="0" fontId="4" fillId="3" borderId="19" xfId="0" applyFont="1" applyFill="1" applyBorder="1" applyAlignment="1">
      <alignment horizontal="left" vertical="center" indent="1"/>
    </xf>
    <xf numFmtId="0" fontId="4" fillId="3" borderId="20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9" fontId="0" fillId="0" borderId="0" xfId="0" applyNumberFormat="1"/>
    <xf numFmtId="10" fontId="0" fillId="4" borderId="22" xfId="0" applyNumberFormat="1" applyFill="1" applyBorder="1" applyAlignment="1">
      <alignment vertical="center"/>
    </xf>
    <xf numFmtId="0" fontId="5" fillId="0" borderId="24" xfId="0" applyFont="1" applyFill="1" applyBorder="1" applyAlignment="1">
      <alignment horizontal="left" vertical="center" indent="1"/>
    </xf>
    <xf numFmtId="0" fontId="5" fillId="0" borderId="25" xfId="0" applyFont="1" applyFill="1" applyBorder="1" applyAlignment="1">
      <alignment horizontal="left" vertical="center" indent="1"/>
    </xf>
    <xf numFmtId="0" fontId="5" fillId="0" borderId="4" xfId="0" applyFont="1" applyFill="1" applyBorder="1" applyAlignment="1">
      <alignment horizontal="left" vertical="center" indent="1"/>
    </xf>
    <xf numFmtId="0" fontId="5" fillId="0" borderId="26" xfId="0" applyFont="1" applyFill="1" applyBorder="1" applyAlignment="1">
      <alignment horizontal="left" vertical="center" indent="1"/>
    </xf>
    <xf numFmtId="0" fontId="6" fillId="4" borderId="6" xfId="0" applyFont="1" applyFill="1" applyBorder="1" applyAlignment="1">
      <alignment horizontal="left" vertical="center" indent="1"/>
    </xf>
    <xf numFmtId="0" fontId="6" fillId="4" borderId="30" xfId="0" applyFont="1" applyFill="1" applyBorder="1" applyAlignment="1">
      <alignment horizontal="left" vertical="center" indent="1"/>
    </xf>
    <xf numFmtId="0" fontId="3" fillId="4" borderId="24" xfId="0" applyFont="1" applyFill="1" applyBorder="1" applyAlignment="1">
      <alignment horizontal="left" vertical="center" indent="1"/>
    </xf>
    <xf numFmtId="0" fontId="3" fillId="4" borderId="31" xfId="0" applyFont="1" applyFill="1" applyBorder="1" applyAlignment="1">
      <alignment horizontal="left" vertical="center" indent="1"/>
    </xf>
    <xf numFmtId="0" fontId="3" fillId="4" borderId="4" xfId="0" applyFont="1" applyFill="1" applyBorder="1" applyAlignment="1">
      <alignment horizontal="left" vertical="center" indent="1"/>
    </xf>
    <xf numFmtId="0" fontId="3" fillId="4" borderId="5" xfId="0" applyFont="1" applyFill="1" applyBorder="1" applyAlignment="1">
      <alignment horizontal="left" vertical="center" indent="1"/>
    </xf>
    <xf numFmtId="0" fontId="4" fillId="3" borderId="27" xfId="0" applyFont="1" applyFill="1" applyBorder="1" applyAlignment="1">
      <alignment horizontal="left" vertical="center" indent="1"/>
    </xf>
    <xf numFmtId="0" fontId="4" fillId="3" borderId="28" xfId="0" applyFont="1" applyFill="1" applyBorder="1" applyAlignment="1">
      <alignment horizontal="left" vertical="center" indent="1"/>
    </xf>
    <xf numFmtId="0" fontId="4" fillId="3" borderId="29" xfId="0" applyFont="1" applyFill="1" applyBorder="1" applyAlignment="1">
      <alignment horizontal="left" vertical="center" indent="1"/>
    </xf>
    <xf numFmtId="0" fontId="4" fillId="3" borderId="32" xfId="0" applyFont="1" applyFill="1" applyBorder="1" applyAlignment="1">
      <alignment horizontal="left" vertical="center" indent="1"/>
    </xf>
    <xf numFmtId="0" fontId="3" fillId="4" borderId="6" xfId="0" applyFont="1" applyFill="1" applyBorder="1" applyAlignment="1">
      <alignment horizontal="left" vertical="center" indent="1"/>
    </xf>
    <xf numFmtId="0" fontId="3" fillId="4" borderId="7" xfId="0" applyFont="1" applyFill="1" applyBorder="1" applyAlignment="1">
      <alignment horizontal="left" vertical="center" indent="1"/>
    </xf>
    <xf numFmtId="172" fontId="3" fillId="4" borderId="9" xfId="1" applyNumberFormat="1" applyFont="1" applyFill="1" applyBorder="1" applyAlignment="1">
      <alignment horizontal="center" vertical="center"/>
    </xf>
    <xf numFmtId="172" fontId="3" fillId="0" borderId="8" xfId="1" applyNumberFormat="1" applyFont="1" applyFill="1" applyBorder="1" applyAlignment="1">
      <alignment horizontal="center" vertical="center"/>
    </xf>
    <xf numFmtId="172" fontId="0" fillId="4" borderId="21" xfId="1" applyNumberFormat="1" applyFont="1" applyFill="1" applyBorder="1" applyAlignment="1">
      <alignment vertical="center"/>
    </xf>
    <xf numFmtId="172" fontId="0" fillId="4" borderId="23" xfId="0" applyNumberFormat="1" applyFill="1" applyBorder="1" applyAlignment="1">
      <alignment vertical="center"/>
    </xf>
    <xf numFmtId="8" fontId="3" fillId="4" borderId="33" xfId="1" applyNumberFormat="1" applyFont="1" applyFill="1" applyBorder="1" applyAlignment="1">
      <alignment horizontal="center" vertical="center"/>
    </xf>
    <xf numFmtId="0" fontId="0" fillId="4" borderId="0" xfId="0" applyFill="1" applyBorder="1"/>
    <xf numFmtId="0" fontId="2" fillId="2" borderId="0" xfId="3" applyBorder="1"/>
    <xf numFmtId="0" fontId="2" fillId="2" borderId="0" xfId="3"/>
    <xf numFmtId="172" fontId="0" fillId="0" borderId="0" xfId="0" applyNumberFormat="1"/>
    <xf numFmtId="172" fontId="0" fillId="5" borderId="0" xfId="0" applyNumberFormat="1" applyFill="1"/>
    <xf numFmtId="0" fontId="3" fillId="6" borderId="0" xfId="0" applyFont="1" applyFill="1"/>
    <xf numFmtId="0" fontId="0" fillId="6" borderId="0" xfId="0" applyFill="1"/>
    <xf numFmtId="172" fontId="3" fillId="6" borderId="0" xfId="0" applyNumberFormat="1" applyFont="1" applyFill="1"/>
    <xf numFmtId="9" fontId="0" fillId="0" borderId="34" xfId="0" applyNumberFormat="1" applyBorder="1"/>
    <xf numFmtId="0" fontId="0" fillId="0" borderId="34" xfId="0" applyBorder="1"/>
    <xf numFmtId="9" fontId="0" fillId="0" borderId="0" xfId="0" applyNumberFormat="1" applyBorder="1"/>
    <xf numFmtId="0" fontId="0" fillId="0" borderId="0" xfId="0" applyBorder="1"/>
    <xf numFmtId="0" fontId="0" fillId="0" borderId="32" xfId="0" applyBorder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433085851903896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'Calculadora de Investimentos'!$C$38</c:f>
              <c:strCache>
                <c:ptCount val="1"/>
                <c:pt idx="0">
                  <c:v>Porcentual Sugerido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'Calculadora de Investimentos'!$B$39:$B$44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'Calculadora de Investimentos'!$C$39:$C$44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A-4F50-B589-164250D385F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7328</xdr:colOff>
      <xdr:row>46</xdr:row>
      <xdr:rowOff>18023</xdr:rowOff>
    </xdr:from>
    <xdr:to>
      <xdr:col>4</xdr:col>
      <xdr:colOff>18171</xdr:colOff>
      <xdr:row>61</xdr:row>
      <xdr:rowOff>19342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E4EDDFE-4A6A-889B-214A-61C01815A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11135</xdr:colOff>
      <xdr:row>0</xdr:row>
      <xdr:rowOff>95544</xdr:rowOff>
    </xdr:from>
    <xdr:to>
      <xdr:col>4</xdr:col>
      <xdr:colOff>0</xdr:colOff>
      <xdr:row>14</xdr:row>
      <xdr:rowOff>121235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29069934-8161-8BF4-6688-541471142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185" y="95544"/>
          <a:ext cx="5437165" cy="26037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226219</xdr:colOff>
      <xdr:row>0</xdr:row>
      <xdr:rowOff>160734</xdr:rowOff>
    </xdr:from>
    <xdr:to>
      <xdr:col>7</xdr:col>
      <xdr:colOff>65485</xdr:colOff>
      <xdr:row>10</xdr:row>
      <xdr:rowOff>41671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6571B7E-C03D-1744-EB14-04A3912DD509}"/>
            </a:ext>
          </a:extLst>
        </xdr:cNvPr>
        <xdr:cNvSpPr txBox="1"/>
      </xdr:nvSpPr>
      <xdr:spPr>
        <a:xfrm>
          <a:off x="226219" y="160734"/>
          <a:ext cx="4089797" cy="1666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Objetivo: </a:t>
          </a:r>
          <a:r>
            <a:rPr lang="pt-BR" sz="1100"/>
            <a:t>Criar um simulador simples de investimento</a:t>
          </a:r>
        </a:p>
        <a:p>
          <a:endParaRPr lang="pt-BR" sz="1100"/>
        </a:p>
        <a:p>
          <a:r>
            <a:rPr lang="pt-BR" sz="1100"/>
            <a:t>Quanto investir por mês?</a:t>
          </a:r>
        </a:p>
        <a:p>
          <a:r>
            <a:rPr lang="pt-BR" sz="1100"/>
            <a:t>Por</a:t>
          </a:r>
          <a:r>
            <a:rPr lang="pt-BR" sz="1100" baseline="0"/>
            <a:t> quantos anos?</a:t>
          </a:r>
        </a:p>
        <a:p>
          <a:r>
            <a:rPr lang="pt-BR" sz="1100" baseline="0"/>
            <a:t>Taxa de rendimento mensal?</a:t>
          </a:r>
        </a:p>
        <a:p>
          <a:r>
            <a:rPr lang="pt-BR" sz="1100" baseline="0"/>
            <a:t>Patrimônio acumulado?</a:t>
          </a:r>
        </a:p>
        <a:p>
          <a:r>
            <a:rPr lang="pt-BR" sz="1100" baseline="0"/>
            <a:t>Dividendos mensais?</a:t>
          </a:r>
          <a:endParaRPr lang="pt-BR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8317B-A129-430E-9F91-092187683866}">
  <dimension ref="A15:F45"/>
  <sheetViews>
    <sheetView showGridLines="0" showRowColHeaders="0" tabSelected="1" zoomScale="150" zoomScaleNormal="150" workbookViewId="0">
      <selection activeCell="E10" sqref="E10"/>
    </sheetView>
  </sheetViews>
  <sheetFormatPr defaultColWidth="0" defaultRowHeight="14.4" x14ac:dyDescent="0.3"/>
  <cols>
    <col min="1" max="1" width="5.77734375" customWidth="1"/>
    <col min="2" max="2" width="36.6640625" customWidth="1"/>
    <col min="3" max="3" width="23.88671875" customWidth="1"/>
    <col min="4" max="4" width="18.88671875" customWidth="1"/>
    <col min="5" max="5" width="5.77734375" customWidth="1"/>
    <col min="7" max="16384" width="8.88671875" hidden="1"/>
  </cols>
  <sheetData>
    <row r="15" spans="2:4" ht="15" thickBot="1" x14ac:dyDescent="0.35"/>
    <row r="16" spans="2:4" ht="21.6" thickBot="1" x14ac:dyDescent="0.35">
      <c r="B16" s="1" t="s">
        <v>13</v>
      </c>
      <c r="C16" s="33"/>
      <c r="D16" s="2"/>
    </row>
    <row r="17" spans="1:4" ht="15" thickBot="1" x14ac:dyDescent="0.35">
      <c r="B17" s="26" t="s">
        <v>14</v>
      </c>
      <c r="C17" s="27"/>
      <c r="D17" s="38">
        <v>5000</v>
      </c>
    </row>
    <row r="18" spans="1:4" ht="15" thickBot="1" x14ac:dyDescent="0.35">
      <c r="B18" s="28" t="s">
        <v>15</v>
      </c>
      <c r="C18" s="29"/>
      <c r="D18" s="19">
        <v>1.0800000000000001E-2</v>
      </c>
    </row>
    <row r="19" spans="1:4" ht="15" thickBot="1" x14ac:dyDescent="0.35">
      <c r="B19" s="34" t="s">
        <v>51</v>
      </c>
      <c r="C19" s="35"/>
      <c r="D19" s="39">
        <f>D17*30%</f>
        <v>1500</v>
      </c>
    </row>
    <row r="20" spans="1:4" ht="10.050000000000001" customHeight="1" thickBot="1" x14ac:dyDescent="0.35"/>
    <row r="21" spans="1:4" ht="47.4" customHeight="1" thickBot="1" x14ac:dyDescent="0.35">
      <c r="B21" s="30" t="s">
        <v>5</v>
      </c>
      <c r="C21" s="31"/>
      <c r="D21" s="32"/>
    </row>
    <row r="22" spans="1:4" ht="25.8" customHeight="1" thickBot="1" x14ac:dyDescent="0.35">
      <c r="B22" s="20" t="s">
        <v>0</v>
      </c>
      <c r="C22" s="21"/>
      <c r="D22" s="37">
        <v>500</v>
      </c>
    </row>
    <row r="23" spans="1:4" ht="25.8" customHeight="1" thickBot="1" x14ac:dyDescent="0.35">
      <c r="B23" s="22" t="s">
        <v>1</v>
      </c>
      <c r="C23" s="23"/>
      <c r="D23" s="3">
        <v>10</v>
      </c>
    </row>
    <row r="24" spans="1:4" ht="25.8" customHeight="1" thickBot="1" x14ac:dyDescent="0.35">
      <c r="B24" s="22" t="s">
        <v>2</v>
      </c>
      <c r="C24" s="23"/>
      <c r="D24" s="4">
        <f>D18</f>
        <v>1.0800000000000001E-2</v>
      </c>
    </row>
    <row r="25" spans="1:4" ht="25.8" customHeight="1" thickBot="1" x14ac:dyDescent="0.35">
      <c r="B25" s="24" t="s">
        <v>3</v>
      </c>
      <c r="C25" s="25"/>
      <c r="D25" s="40">
        <f>FV(taxa_mensal,periodo*12,aporte*-1)</f>
        <v>121728.83312740005</v>
      </c>
    </row>
    <row r="26" spans="1:4" ht="25.8" customHeight="1" thickBot="1" x14ac:dyDescent="0.35">
      <c r="B26" s="24" t="s">
        <v>4</v>
      </c>
      <c r="C26" s="25"/>
      <c r="D26" s="36">
        <f>D25*D24</f>
        <v>1314.6713977759207</v>
      </c>
    </row>
    <row r="27" spans="1:4" ht="10.050000000000001" customHeight="1" thickBot="1" x14ac:dyDescent="0.35"/>
    <row r="28" spans="1:4" ht="21.6" thickBot="1" x14ac:dyDescent="0.35">
      <c r="B28" s="15" t="s">
        <v>11</v>
      </c>
      <c r="C28" s="16"/>
      <c r="D28" s="17" t="s">
        <v>12</v>
      </c>
    </row>
    <row r="29" spans="1:4" ht="15" thickBot="1" x14ac:dyDescent="0.35">
      <c r="A29" s="5">
        <v>2</v>
      </c>
      <c r="B29" s="12" t="s">
        <v>6</v>
      </c>
      <c r="C29" s="13">
        <f>FV($D$24,$A29*12,-$D$22)</f>
        <v>13615.431830290796</v>
      </c>
      <c r="D29" s="14">
        <f>C29*rendimento_carteira</f>
        <v>147.04666376714061</v>
      </c>
    </row>
    <row r="30" spans="1:4" ht="15" thickBot="1" x14ac:dyDescent="0.35">
      <c r="A30" s="5">
        <v>5</v>
      </c>
      <c r="B30" s="7" t="s">
        <v>7</v>
      </c>
      <c r="C30" s="6">
        <f>FV($D$24,$A30*12,-$D$22)</f>
        <v>41902.00967962922</v>
      </c>
      <c r="D30" s="8">
        <f>C30*rendimento_carteira</f>
        <v>452.54170453999558</v>
      </c>
    </row>
    <row r="31" spans="1:4" ht="15" thickBot="1" x14ac:dyDescent="0.35">
      <c r="A31" s="5">
        <v>10</v>
      </c>
      <c r="B31" s="7" t="s">
        <v>8</v>
      </c>
      <c r="C31" s="6">
        <f>FV($D$24,$A31*12,-$D$22)</f>
        <v>121728.83312740005</v>
      </c>
      <c r="D31" s="8">
        <f>C31*rendimento_carteira</f>
        <v>1314.6713977759207</v>
      </c>
    </row>
    <row r="32" spans="1:4" ht="15" thickBot="1" x14ac:dyDescent="0.35">
      <c r="A32" s="5">
        <v>20</v>
      </c>
      <c r="B32" s="7" t="s">
        <v>9</v>
      </c>
      <c r="C32" s="6">
        <f>FV($D$24,$A32*12,-$D$22)</f>
        <v>563524.49664926168</v>
      </c>
      <c r="D32" s="8">
        <f>C32*rendimento_carteira</f>
        <v>6086.0645638120268</v>
      </c>
    </row>
    <row r="33" spans="1:4" ht="15" thickBot="1" x14ac:dyDescent="0.35">
      <c r="A33" s="5">
        <v>30</v>
      </c>
      <c r="B33" s="9" t="s">
        <v>10</v>
      </c>
      <c r="C33" s="10">
        <f>FV($D$24,$A33*12,-$D$22)</f>
        <v>2166952.4051583759</v>
      </c>
      <c r="D33" s="11">
        <f>C33*rendimento_carteira</f>
        <v>23403.085975710459</v>
      </c>
    </row>
    <row r="35" spans="1:4" x14ac:dyDescent="0.3">
      <c r="B35" s="42" t="s">
        <v>16</v>
      </c>
      <c r="C35" s="43"/>
      <c r="D35" s="43" t="s">
        <v>19</v>
      </c>
    </row>
    <row r="36" spans="1:4" x14ac:dyDescent="0.3">
      <c r="B36" s="41" t="s">
        <v>20</v>
      </c>
      <c r="C36" s="41"/>
      <c r="D36" s="45">
        <f>aporte</f>
        <v>500</v>
      </c>
    </row>
    <row r="38" spans="1:4" x14ac:dyDescent="0.3">
      <c r="B38" s="46" t="s">
        <v>21</v>
      </c>
      <c r="C38" s="46" t="s">
        <v>28</v>
      </c>
      <c r="D38" s="46" t="s">
        <v>29</v>
      </c>
    </row>
    <row r="39" spans="1:4" x14ac:dyDescent="0.3">
      <c r="B39" t="s">
        <v>22</v>
      </c>
      <c r="C39" s="18">
        <f>VLOOKUP($D$35&amp;"-"&amp;B39,tabela_apoio,4,0)</f>
        <v>0.3</v>
      </c>
      <c r="D39" s="44">
        <f>C39*aporte</f>
        <v>150</v>
      </c>
    </row>
    <row r="40" spans="1:4" x14ac:dyDescent="0.3">
      <c r="B40" t="s">
        <v>23</v>
      </c>
      <c r="C40" s="18">
        <f>VLOOKUP($D$35&amp;"-"&amp;B40,tabela_apoio,4,0)</f>
        <v>0.5</v>
      </c>
      <c r="D40" s="44">
        <f>C40*aporte</f>
        <v>250</v>
      </c>
    </row>
    <row r="41" spans="1:4" x14ac:dyDescent="0.3">
      <c r="B41" t="s">
        <v>24</v>
      </c>
      <c r="C41" s="18">
        <f>VLOOKUP($D$35&amp;"-"&amp;B41,tabela_apoio,4,0)</f>
        <v>0.1</v>
      </c>
      <c r="D41" s="44">
        <f>C41*aporte</f>
        <v>50</v>
      </c>
    </row>
    <row r="42" spans="1:4" x14ac:dyDescent="0.3">
      <c r="B42" t="s">
        <v>25</v>
      </c>
      <c r="C42" s="18">
        <f>VLOOKUP($D$35&amp;"-"&amp;B42,tabela_apoio,4,0)</f>
        <v>0.1</v>
      </c>
      <c r="D42" s="44">
        <f>C42*aporte</f>
        <v>50</v>
      </c>
    </row>
    <row r="43" spans="1:4" x14ac:dyDescent="0.3">
      <c r="B43" t="s">
        <v>26</v>
      </c>
      <c r="C43" s="18">
        <f>VLOOKUP($D$35&amp;"-"&amp;B43,tabela_apoio,4,0)</f>
        <v>0</v>
      </c>
      <c r="D43" s="44">
        <f>C43*aporte</f>
        <v>0</v>
      </c>
    </row>
    <row r="44" spans="1:4" x14ac:dyDescent="0.3">
      <c r="B44" t="s">
        <v>27</v>
      </c>
      <c r="C44" s="18">
        <f>VLOOKUP($D$35&amp;"-"&amp;B44,tabela_apoio,4,0)</f>
        <v>0</v>
      </c>
      <c r="D44" s="44">
        <f>C44*aporte</f>
        <v>0</v>
      </c>
    </row>
    <row r="45" spans="1:4" x14ac:dyDescent="0.3">
      <c r="B45" s="47"/>
      <c r="C45" s="47"/>
      <c r="D45" s="48">
        <f>SUM(D39:D44)</f>
        <v>500</v>
      </c>
    </row>
  </sheetData>
  <mergeCells count="11">
    <mergeCell ref="B21:D21"/>
    <mergeCell ref="B22:C22"/>
    <mergeCell ref="B23:C23"/>
    <mergeCell ref="B24:C24"/>
    <mergeCell ref="B25:C25"/>
    <mergeCell ref="B17:C17"/>
    <mergeCell ref="B18:C18"/>
    <mergeCell ref="B19:C19"/>
    <mergeCell ref="B16:D16"/>
    <mergeCell ref="B28:C28"/>
    <mergeCell ref="B26:C26"/>
  </mergeCells>
  <dataValidations count="1">
    <dataValidation type="list" allowBlank="1" showInputMessage="1" showErrorMessage="1" sqref="D35" xr:uid="{38AD7FF0-C242-4987-B11B-5299BE36C416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274E-932F-4A5B-B836-7085EE29465B}">
  <dimension ref="A1"/>
  <sheetViews>
    <sheetView zoomScale="160" zoomScaleNormal="160" workbookViewId="0">
      <selection activeCell="F13" sqref="F13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9F9DD-6F38-4E5D-BDE1-4E662428E8BA}">
  <dimension ref="A1:D19"/>
  <sheetViews>
    <sheetView zoomScale="175" zoomScaleNormal="175" workbookViewId="0">
      <selection activeCell="G9" sqref="G9"/>
    </sheetView>
  </sheetViews>
  <sheetFormatPr defaultRowHeight="14.4" x14ac:dyDescent="0.3"/>
  <cols>
    <col min="1" max="1" width="34.77734375" customWidth="1"/>
    <col min="2" max="2" width="15.44140625" customWidth="1"/>
    <col min="3" max="3" width="23.109375" customWidth="1"/>
  </cols>
  <sheetData>
    <row r="1" spans="1:4" x14ac:dyDescent="0.3">
      <c r="A1" s="46" t="s">
        <v>31</v>
      </c>
      <c r="B1" s="46" t="s">
        <v>30</v>
      </c>
      <c r="C1" s="46" t="s">
        <v>21</v>
      </c>
      <c r="D1" s="46" t="s">
        <v>50</v>
      </c>
    </row>
    <row r="2" spans="1:4" x14ac:dyDescent="0.3">
      <c r="A2" s="51" t="s">
        <v>32</v>
      </c>
      <c r="B2" s="52" t="s">
        <v>19</v>
      </c>
      <c r="C2" s="52" t="s">
        <v>22</v>
      </c>
      <c r="D2" s="18">
        <v>0.3</v>
      </c>
    </row>
    <row r="3" spans="1:4" x14ac:dyDescent="0.3">
      <c r="A3" s="51" t="s">
        <v>33</v>
      </c>
      <c r="B3" s="52" t="s">
        <v>19</v>
      </c>
      <c r="C3" s="52" t="s">
        <v>23</v>
      </c>
      <c r="D3" s="18">
        <v>0.5</v>
      </c>
    </row>
    <row r="4" spans="1:4" x14ac:dyDescent="0.3">
      <c r="A4" s="51" t="s">
        <v>34</v>
      </c>
      <c r="B4" s="52" t="s">
        <v>19</v>
      </c>
      <c r="C4" s="52" t="s">
        <v>24</v>
      </c>
      <c r="D4" s="18">
        <v>0.1</v>
      </c>
    </row>
    <row r="5" spans="1:4" x14ac:dyDescent="0.3">
      <c r="A5" s="51" t="s">
        <v>35</v>
      </c>
      <c r="B5" s="52" t="s">
        <v>19</v>
      </c>
      <c r="C5" s="52" t="s">
        <v>25</v>
      </c>
      <c r="D5" s="18">
        <v>0.1</v>
      </c>
    </row>
    <row r="6" spans="1:4" x14ac:dyDescent="0.3">
      <c r="A6" s="51" t="s">
        <v>36</v>
      </c>
      <c r="B6" s="52" t="s">
        <v>19</v>
      </c>
      <c r="C6" s="52" t="s">
        <v>26</v>
      </c>
      <c r="D6" s="18">
        <v>0</v>
      </c>
    </row>
    <row r="7" spans="1:4" ht="15" thickBot="1" x14ac:dyDescent="0.35">
      <c r="A7" s="49" t="s">
        <v>37</v>
      </c>
      <c r="B7" s="50" t="s">
        <v>19</v>
      </c>
      <c r="C7" s="50" t="s">
        <v>27</v>
      </c>
      <c r="D7" s="49">
        <v>0</v>
      </c>
    </row>
    <row r="8" spans="1:4" x14ac:dyDescent="0.3">
      <c r="A8" s="53" t="s">
        <v>38</v>
      </c>
      <c r="B8" s="53" t="s">
        <v>18</v>
      </c>
      <c r="C8" s="53" t="s">
        <v>22</v>
      </c>
      <c r="D8" s="18">
        <v>0.32</v>
      </c>
    </row>
    <row r="9" spans="1:4" x14ac:dyDescent="0.3">
      <c r="A9" s="52" t="s">
        <v>39</v>
      </c>
      <c r="B9" s="52" t="s">
        <v>18</v>
      </c>
      <c r="C9" s="52" t="s">
        <v>23</v>
      </c>
      <c r="D9" s="18">
        <v>0.4</v>
      </c>
    </row>
    <row r="10" spans="1:4" x14ac:dyDescent="0.3">
      <c r="A10" s="52" t="s">
        <v>40</v>
      </c>
      <c r="B10" s="52" t="s">
        <v>18</v>
      </c>
      <c r="C10" s="52" t="s">
        <v>24</v>
      </c>
      <c r="D10" s="18">
        <v>0.08</v>
      </c>
    </row>
    <row r="11" spans="1:4" x14ac:dyDescent="0.3">
      <c r="A11" s="52" t="s">
        <v>41</v>
      </c>
      <c r="B11" s="52" t="s">
        <v>18</v>
      </c>
      <c r="C11" s="52" t="s">
        <v>25</v>
      </c>
      <c r="D11" s="18">
        <v>0.1</v>
      </c>
    </row>
    <row r="12" spans="1:4" x14ac:dyDescent="0.3">
      <c r="A12" s="52" t="s">
        <v>42</v>
      </c>
      <c r="B12" s="52" t="s">
        <v>18</v>
      </c>
      <c r="C12" s="52" t="s">
        <v>26</v>
      </c>
      <c r="D12" s="18">
        <v>0.05</v>
      </c>
    </row>
    <row r="13" spans="1:4" ht="15" thickBot="1" x14ac:dyDescent="0.35">
      <c r="A13" s="50" t="s">
        <v>43</v>
      </c>
      <c r="B13" s="50" t="s">
        <v>18</v>
      </c>
      <c r="C13" s="50" t="s">
        <v>27</v>
      </c>
      <c r="D13" s="49">
        <v>0.05</v>
      </c>
    </row>
    <row r="14" spans="1:4" x14ac:dyDescent="0.3">
      <c r="A14" t="s">
        <v>44</v>
      </c>
      <c r="B14" t="s">
        <v>17</v>
      </c>
      <c r="C14" t="s">
        <v>22</v>
      </c>
      <c r="D14" s="18">
        <v>0.5</v>
      </c>
    </row>
    <row r="15" spans="1:4" x14ac:dyDescent="0.3">
      <c r="A15" t="s">
        <v>45</v>
      </c>
      <c r="B15" t="s">
        <v>17</v>
      </c>
      <c r="C15" t="s">
        <v>23</v>
      </c>
      <c r="D15" s="18">
        <v>0.1</v>
      </c>
    </row>
    <row r="16" spans="1:4" x14ac:dyDescent="0.3">
      <c r="A16" t="s">
        <v>46</v>
      </c>
      <c r="B16" t="s">
        <v>17</v>
      </c>
      <c r="C16" t="s">
        <v>24</v>
      </c>
      <c r="D16" s="18">
        <v>0.05</v>
      </c>
    </row>
    <row r="17" spans="1:4" x14ac:dyDescent="0.3">
      <c r="A17" t="s">
        <v>47</v>
      </c>
      <c r="B17" t="s">
        <v>17</v>
      </c>
      <c r="C17" t="s">
        <v>25</v>
      </c>
      <c r="D17" s="18">
        <v>0.05</v>
      </c>
    </row>
    <row r="18" spans="1:4" x14ac:dyDescent="0.3">
      <c r="A18" t="s">
        <v>48</v>
      </c>
      <c r="B18" t="s">
        <v>17</v>
      </c>
      <c r="C18" t="s">
        <v>26</v>
      </c>
      <c r="D18" s="18">
        <v>0.2</v>
      </c>
    </row>
    <row r="19" spans="1:4" x14ac:dyDescent="0.3">
      <c r="A19" t="s">
        <v>49</v>
      </c>
      <c r="B19" t="s">
        <v>17</v>
      </c>
      <c r="C19" t="s">
        <v>27</v>
      </c>
      <c r="D19" s="1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5</vt:i4>
      </vt:variant>
    </vt:vector>
  </HeadingPairs>
  <TitlesOfParts>
    <vt:vector size="8" baseType="lpstr">
      <vt:lpstr>Calculadora de Investimentos</vt:lpstr>
      <vt:lpstr>Perguntas de Negócios</vt:lpstr>
      <vt:lpstr>Tabela de Apoio</vt:lpstr>
      <vt:lpstr>aporte</vt:lpstr>
      <vt:lpstr>periodo</vt:lpstr>
      <vt:lpstr>rendimento_carteira</vt:lpstr>
      <vt:lpstr>tabela_apoio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Colman</dc:creator>
  <cp:lastModifiedBy>Luiz Colman</cp:lastModifiedBy>
  <dcterms:created xsi:type="dcterms:W3CDTF">2026-01-16T18:08:19Z</dcterms:created>
  <dcterms:modified xsi:type="dcterms:W3CDTF">2026-01-17T19:47:07Z</dcterms:modified>
</cp:coreProperties>
</file>