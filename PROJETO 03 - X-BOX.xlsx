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edb29961de3645/Estudos/DIO/DIO-Excel-com-IA/"/>
    </mc:Choice>
  </mc:AlternateContent>
  <xr:revisionPtr revIDLastSave="309" documentId="13_ncr:1_{3C2F8ED6-40B2-4E08-832A-7140AC03FA60}" xr6:coauthVersionLast="47" xr6:coauthVersionMax="47" xr10:uidLastSave="{A1C89E89-3EE8-468A-ACF4-84B680561E39}"/>
  <bookViews>
    <workbookView xWindow="2868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F24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<sst xmlns="http://schemas.openxmlformats.org/spreadsheetml/2006/main" count="2021" uniqueCount="323">
  <si>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</si>
  <si>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</si>
  <si>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</si>
  <si>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</si>
  <si>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</si>
  <si>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</si>
  <si>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</si>
  <si>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</si>
  <si>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</si>
  <si>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</si>
  <si>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</si>
  <si>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</si>
  <si>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</si>
  <si>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</si>
  <si>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</si>
  <si>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</si>
  <si>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</si>
  <si>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</si>
  <si>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</si>
  <si>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</si>
  <si>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</si>
  <si>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</si>
  <si>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</si>
  <si>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</si>
  <si>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</si>
  <si>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</si>
  <si>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</si>
  <si>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</si>
  <si>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</si>
  <si>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</si>
  <si>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</si>
  <si>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</si>
  <si>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</si>
  <si>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</si>
  <si>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</si>
  <si>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</si>
  <si>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</si>
  <si>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</si>
  <si>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</si>
  <si>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</si>
  <si>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</si>
  <si>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</si>
  <si>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</si>
  <si>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</si>
  <si>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</si>
  <si>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</si>
  <si>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</si>
  <si>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</si>
  <si>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</si>
  <si>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</si>
  <si>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</si>
  <si>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</si>
  <si>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</si>
  <si>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</si>
  <si>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</si>
  <si>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</si>
  <si>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</si>
  <si>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</si>
  <si>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</si>
  <si>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</si>
  <si>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</si>
  <si>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</si>
  <si>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</si>
  <si>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</si>
  <si>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</si>
  <si>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</si>
  <si>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</si>
  <si>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</si>
  <si>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</si>
  <si>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</si>
  <si>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</si>
  <si>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</si>
  <si>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</si>
  <si>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</si>
  <si>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</si>
  <si>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</si>
  <si>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</si>
  <si>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</si>
  <si>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</si>
  <si>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</si>
  <si>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</si>
  <si>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</si>
  <si>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</si>
  <si>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</si>
  <si>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</si>
  <si>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</si>
  <si>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</si>
  <si>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</si>
  <si>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</si>
  <si>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</si>
  <si>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</si>
  <si>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</si>
  <si>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</si>
  <si>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</si>
  <si>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</si>
  <si>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</si>
  <si>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</si>
  <si>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</si>
  <si>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</si>
  <si>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</si>
  <si>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</si>
  <si>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</si>
  <si>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</si>
  <si>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</si>
  <si>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</si>
  <si>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</si>
  <si>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</si>
  <si>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</si>
  <si>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</si>
  <si>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</si>
  <si>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</si>
  <si>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</si>
  <si>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</si>
  <si>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</si>
  <si>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</si>
  <si>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</si>
  <si>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</si>
  <si>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</si>
  <si>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</si>
  <si>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</si>
  <si>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</si>
  <si>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</si>
  <si>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</si>
  <si>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</si>
  <si>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</si>
  <si>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</si>
  <si>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</si>
  <si>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</si>
  <si>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</si>
  <si>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</si>
  <si>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</si>
  <si>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</si>
  <si>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</si>
  <si>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</si>
  <si>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</si>
  <si>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</si>
  <si>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</si>
  <si>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</si>
  <si>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</si>
  <si>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</si>
  <si>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</si>
  <si>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</si>
  <si>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</si>
  <si>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</si>
  <si>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</si>
  <si>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</si>
  <si>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</si>
  <si>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</si>
  <si>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</si>
  <si>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</si>
  <si>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</si>
  <si>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</si>
  <si>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</si>
  <si>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</si>
  <si>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</si>
  <si>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</si>
  <si>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</si>
  <si>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</si>
  <si>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</si>
  <si>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</si>
  <si>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</si>
  <si>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</si>
  <si>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</si>
  <si>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</si>
  <si>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</si>
  <si>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</si>
  <si>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</si>
  <si>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</si>
  <si>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</si>
  <si>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</si>
  <si>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</si>
  <si>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</si>
  <si>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</si>
  <si>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</si>
  <si>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</si>
  <si>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</si>
  <si>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</si>
  <si>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</si>
  <si>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</si>
  <si>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</si>
  <si>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</si>
  <si>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</si>
  <si>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</si>
  <si>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</si>
  <si>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</si>
  <si>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</si>
  <si>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</si>
  <si>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</si>
  <si>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</si>
  <si>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</si>
  <si>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</si>
  <si>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</si>
  <si>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</si>
  <si>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</si>
  <si>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</si>
  <si>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</si>
  <si>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</si>
  <si>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</si>
  <si>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</si>
  <si>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</si>
  <si>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</si>
  <si>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</si>
  <si>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</si>
  <si>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</si>
  <si>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</si>
  <si>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</si>
  <si>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</si>
  <si>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</si>
  <si>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</si>
  <si>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</si>
  <si>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</si>
  <si>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</si>
  <si>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</si>
  <si>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</si>
  <si>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</si>
  <si>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</si>
  <si>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</si>
  <si>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</si>
  <si>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</si>
  <si>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</si>
  <si>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</si>
  <si>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</si>
  <si>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</si>
  <si>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</si>
  <si>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</si>
  <si>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</si>
  <si>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</si>
  <si>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</si>
  <si>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</si>
  <si>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</si>
  <si>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</si>
  <si>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</si>
  <si>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</si>
  <si>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</si>
  <si>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</si>
  <si>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</si>
  <si>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</si>
  <si>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</si>
  <si>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</si>
  <si>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</si>
  <si>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</si>
  <si>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</si>
  <si>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</si>
  <si>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</si>
  <si>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</si>
  <si>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</si>
  <si>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</si>
  <si>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</si>
  <si>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</si>
  <si>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</si>
  <si>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</si>
  <si>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</si>
  <si>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</si>
  <si>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</si>
  <si>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</si>
  <si>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</si>
  <si>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</si>
  <si>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</si>
  <si>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</si>
  <si>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</si>
  <si>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</si>
  <si>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</si>
  <si>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</si>
  <si>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</si>
  <si>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</si>
  <si>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</si>
  <si>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</si>
  <si>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</si>
  <si>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</si>
  <si>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</si>
  <si>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</si>
  <si>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</si>
  <si>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</si>
  <si>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</si>
  <si>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</si>
  <si>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</si>
  <si>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</si>
  <si>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</si>
  <si>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</si>
  <si>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</si>
  <si>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</si>
  <si>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</si>
  <si>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</si>
  <si>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</si>
  <si>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</si>
  <si>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</si>
  <si>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</si>
  <si>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</si>
  <si>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</si>
  <si>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</si>
  <si>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</si>
  <si>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</si>
  <si>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</si>
  <si>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</si>
  <si>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</si>
  <si>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</si>
  <si>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</si>
  <si>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</si>
  <si>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</si>
  <si>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</si>
  <si>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</si>
  <si>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</si>
  <si>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</si>
  <si>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</si>
  <si>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</si>
  <si>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</si>
  <si>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</si>
  <si>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</si>
  <si>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</si>
  <si>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</si>
  <si>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</si>
  <si>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</si>
  <si>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</si>
  <si>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</si>
  <si>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</si>
  <si>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</si>
  <si>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</si>
  <si>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poe auto renovação não é por auto renovação automática</t>
    </r>
  </si>
  <si>
    <t>X BOX GAME PASS SUBSCRPTION SALES</t>
  </si>
  <si>
    <t>Pergunta de Negócio 3 - Total de vendasde Assinaturas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</si>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</sst>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5BF6A8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44" fontId="0" fillId="0" borderId="0" xfId="2" applyFont="1"/>
    <xf numFmtId="0" fontId="4" fillId="8" borderId="2" xfId="1" applyFont="1" applyFill="1" applyBorder="1"/>
    <xf numFmtId="0" fontId="5" fillId="8" borderId="2" xfId="1" applyFont="1" applyFill="1" applyBorder="1" applyAlignment="1">
      <alignment horizontal="left" indent="8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fgColor rgb="FF5BF6A8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AE6B1"/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9F654CEC-1074-4CDE-9FEA-EB8A938F959D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03 - X-BOX.xlsx]C̳álculos!tbl_annual_total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DD-4C70-B056-4E6B62B903BD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DD-4C70-B056-4E6B62B903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DD-4C70-B056-4E6B62B90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9763072"/>
        <c:axId val="837950112"/>
      </c:barChart>
      <c:catAx>
        <c:axId val="85976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7950112"/>
        <c:crosses val="autoZero"/>
        <c:auto val="1"/>
        <c:lblAlgn val="ctr"/>
        <c:lblOffset val="100"/>
        <c:noMultiLvlLbl val="0"/>
      </c:catAx>
      <c:valAx>
        <c:axId val="8379501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976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image" Target="../media/image11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99058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99058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257175</xdr:colOff>
      <xdr:row>1</xdr:row>
      <xdr:rowOff>57149</xdr:rowOff>
    </xdr:from>
    <xdr:to>
      <xdr:col>8</xdr:col>
      <xdr:colOff>542925</xdr:colOff>
      <xdr:row>2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1CB1FAE-43DC-5518-5B8A-00830024EA5E}"/>
            </a:ext>
          </a:extLst>
        </xdr:cNvPr>
        <xdr:cNvSpPr txBox="1"/>
      </xdr:nvSpPr>
      <xdr:spPr>
        <a:xfrm>
          <a:off x="257175" y="238124"/>
          <a:ext cx="8886825" cy="285751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pt-BR" sz="1100"/>
            <a:t>É uma pergunta de negócio respondida através de alguma análise de dado específica</a:t>
          </a:r>
        </a:p>
        <a:p>
          <a:endParaRPr lang="pt-BR" sz="1100"/>
        </a:p>
        <a:p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171326</xdr:colOff>
      <xdr:row>5</xdr:row>
      <xdr:rowOff>69826</xdr:rowOff>
    </xdr:from>
    <xdr:to>
      <xdr:col>11</xdr:col>
      <xdr:colOff>45866</xdr:colOff>
      <xdr:row>20</xdr:row>
      <xdr:rowOff>63598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5904C7-69EB-48FE-8E7E-A4A979013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</xdr:row>
      <xdr:rowOff>104478</xdr:rowOff>
    </xdr:from>
    <xdr:to>
      <xdr:col>1</xdr:col>
      <xdr:colOff>1587</xdr:colOff>
      <xdr:row>17</xdr:row>
      <xdr:rowOff>75566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2B6ED11-D86A-4386-9DA9-7AEB026307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37214"/>
              <a:ext cx="1811337" cy="27590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36029</xdr:colOff>
      <xdr:row>1</xdr:row>
      <xdr:rowOff>25497</xdr:rowOff>
    </xdr:from>
    <xdr:to>
      <xdr:col>2</xdr:col>
      <xdr:colOff>601489</xdr:colOff>
      <xdr:row>1</xdr:row>
      <xdr:rowOff>581026</xdr:rowOff>
    </xdr:to>
    <xdr:pic>
      <xdr:nvPicPr>
        <xdr:cNvPr id="5" name="Imagem 4" descr="Xbox Discount Codes February 2026 - MoneySavingExpert">
          <a:extLst>
            <a:ext uri="{FF2B5EF4-FFF2-40B4-BE49-F238E27FC236}">
              <a16:creationId xmlns:a16="http://schemas.microsoft.com/office/drawing/2014/main" id="{58751BF0-242E-64E9-27F7-E67246F52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4894" y="113420"/>
          <a:ext cx="565460" cy="555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296065</xdr:colOff>
      <xdr:row>3</xdr:row>
      <xdr:rowOff>394542</xdr:rowOff>
    </xdr:from>
    <xdr:to>
      <xdr:col>16</xdr:col>
      <xdr:colOff>606229</xdr:colOff>
      <xdr:row>9</xdr:row>
      <xdr:rowOff>50489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DDF0D69-3FD6-EB44-93B8-C3E6881EC99E}"/>
            </a:ext>
          </a:extLst>
        </xdr:cNvPr>
        <xdr:cNvGrpSpPr/>
      </xdr:nvGrpSpPr>
      <xdr:grpSpPr>
        <a:xfrm>
          <a:off x="7826237" y="1336198"/>
          <a:ext cx="3191550" cy="1018755"/>
          <a:chOff x="6649876" y="1037748"/>
          <a:chExt cx="3189449" cy="1019732"/>
        </a:xfrm>
      </xdr:grpSpPr>
      <xdr:sp macro="" textlink="C̳álculos!F24">
        <xdr:nvSpPr>
          <xdr:cNvPr id="6" name="Retângulo 5">
            <a:extLst>
              <a:ext uri="{FF2B5EF4-FFF2-40B4-BE49-F238E27FC236}">
                <a16:creationId xmlns:a16="http://schemas.microsoft.com/office/drawing/2014/main" id="{CBA0FACF-50DE-49DC-F794-F41C7370C912}"/>
              </a:ext>
            </a:extLst>
          </xdr:cNvPr>
          <xdr:cNvSpPr/>
        </xdr:nvSpPr>
        <xdr:spPr>
          <a:xfrm>
            <a:off x="6650438" y="1337683"/>
            <a:ext cx="3188887" cy="71979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E4997B1F-C46F-4298-8E03-28CDE405A00F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pPr algn="r"/>
              <a:t> R$ 990,00 </a:t>
            </a:fld>
            <a:endParaRPr lang="pt-BR" sz="2800">
              <a:solidFill>
                <a:srgbClr val="22C55E"/>
              </a:solidFill>
            </a:endParaRPr>
          </a:p>
        </xdr:txBody>
      </xdr:sp>
      <xdr:pic>
        <xdr:nvPicPr>
          <xdr:cNvPr id="2" name="Imagem 1">
            <a:extLst>
              <a:ext uri="{FF2B5EF4-FFF2-40B4-BE49-F238E27FC236}">
                <a16:creationId xmlns:a16="http://schemas.microsoft.com/office/drawing/2014/main" id="{091595EE-5E78-4B39-8140-D7BCC439C20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5269" b="29468"/>
          <a:stretch>
            <a:fillRect/>
          </a:stretch>
        </xdr:blipFill>
        <xdr:spPr>
          <a:xfrm>
            <a:off x="6781355" y="1454737"/>
            <a:ext cx="1130411" cy="418079"/>
          </a:xfrm>
          <a:prstGeom prst="rect">
            <a:avLst/>
          </a:prstGeom>
        </xdr:spPr>
      </xdr:pic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92ECF9D6-C1B7-420B-917B-E85418080661}"/>
              </a:ext>
            </a:extLst>
          </xdr:cNvPr>
          <xdr:cNvSpPr/>
        </xdr:nvSpPr>
        <xdr:spPr>
          <a:xfrm>
            <a:off x="6649876" y="1037748"/>
            <a:ext cx="3181267" cy="308288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 b="1" i="0" u="none" strike="noStrike">
                <a:solidFill>
                  <a:schemeClr val="bg1"/>
                </a:solidFill>
                <a:latin typeface="Aptos Narrow"/>
              </a:rPr>
              <a:t>TOTAL</a:t>
            </a:r>
            <a:r>
              <a:rPr lang="en-US" sz="1050" b="1" i="0" u="none" strike="noStrike" baseline="0">
                <a:solidFill>
                  <a:schemeClr val="bg1"/>
                </a:solidFill>
                <a:latin typeface="Aptos Narrow"/>
              </a:rPr>
              <a:t> SUBSCRIPTION EA PLAY SEASON PASS</a:t>
            </a:r>
            <a:endParaRPr lang="en-US" sz="1050" b="1" i="0" u="none" strike="noStrike">
              <a:solidFill>
                <a:schemeClr val="bg1"/>
              </a:solidFill>
              <a:latin typeface="Aptos Narrow"/>
            </a:endParaRPr>
          </a:p>
        </xdr:txBody>
      </xdr:sp>
    </xdr:grpSp>
    <xdr:clientData/>
  </xdr:twoCellAnchor>
  <xdr:twoCellAnchor>
    <xdr:from>
      <xdr:col>11</xdr:col>
      <xdr:colOff>315115</xdr:colOff>
      <xdr:row>10</xdr:row>
      <xdr:rowOff>21064</xdr:rowOff>
    </xdr:from>
    <xdr:to>
      <xdr:col>17</xdr:col>
      <xdr:colOff>0</xdr:colOff>
      <xdr:row>15</xdr:row>
      <xdr:rowOff>108128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1642AEA8-F936-A467-F6ED-E8D94373BBF7}"/>
            </a:ext>
          </a:extLst>
        </xdr:cNvPr>
        <xdr:cNvGrpSpPr/>
      </xdr:nvGrpSpPr>
      <xdr:grpSpPr>
        <a:xfrm>
          <a:off x="7849097" y="2501081"/>
          <a:ext cx="3170595" cy="1004834"/>
          <a:chOff x="6665116" y="2211228"/>
          <a:chExt cx="3183734" cy="1000682"/>
        </a:xfrm>
      </xdr:grpSpPr>
      <xdr:sp macro="" textlink="C̳álculos!F37">
        <xdr:nvSpPr>
          <xdr:cNvPr id="13" name="Retângulo 12">
            <a:extLst>
              <a:ext uri="{FF2B5EF4-FFF2-40B4-BE49-F238E27FC236}">
                <a16:creationId xmlns:a16="http://schemas.microsoft.com/office/drawing/2014/main" id="{ED2D5012-EF3A-66DF-D18F-1865EEF3B618}"/>
              </a:ext>
            </a:extLst>
          </xdr:cNvPr>
          <xdr:cNvSpPr/>
        </xdr:nvSpPr>
        <xdr:spPr>
          <a:xfrm>
            <a:off x="6669485" y="2505075"/>
            <a:ext cx="3179365" cy="70683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r"/>
            <a:fld id="{4AC70F61-B850-4928-A33C-D26F1B966761}" type="TxLink">
              <a:rPr lang="en-US" sz="28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r"/>
              <a:t> R$ 1.140,00 </a:t>
            </a:fld>
            <a:endParaRPr lang="pt-BR" sz="28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D1488E6B-0D52-88B3-F999-174DBF61A30F}"/>
              </a:ext>
            </a:extLst>
          </xdr:cNvPr>
          <xdr:cNvSpPr/>
        </xdr:nvSpPr>
        <xdr:spPr>
          <a:xfrm>
            <a:off x="6665116" y="2211228"/>
            <a:ext cx="3177460" cy="296465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 b="1" i="0" u="none" strike="noStrike">
                <a:solidFill>
                  <a:schemeClr val="bg1"/>
                </a:solidFill>
                <a:latin typeface="+mn-lt"/>
              </a:rPr>
              <a:t>MINECRAFT SEASON PASS PASS</a:t>
            </a:r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DA8B9BD7-040C-4C61-93E0-574C5D619810}"/>
              </a:ext>
            </a:extLst>
          </xdr:cNvPr>
          <xdr:cNvGrpSpPr/>
        </xdr:nvGrpSpPr>
        <xdr:grpSpPr>
          <a:xfrm>
            <a:off x="6953884" y="2622366"/>
            <a:ext cx="821766" cy="384360"/>
            <a:chOff x="3495675" y="5400674"/>
            <a:chExt cx="1549476" cy="752476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94E78983-BDD7-54EB-723C-6FADD1CDF9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8" name="Gráfico 17">
              <a:extLst>
                <a:ext uri="{FF2B5EF4-FFF2-40B4-BE49-F238E27FC236}">
                  <a16:creationId xmlns:a16="http://schemas.microsoft.com/office/drawing/2014/main" id="{08719E91-8D72-A3B3-BC32-F2B46D117A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191926</xdr:colOff>
      <xdr:row>3</xdr:row>
      <xdr:rowOff>411052</xdr:rowOff>
    </xdr:from>
    <xdr:to>
      <xdr:col>11</xdr:col>
      <xdr:colOff>45866</xdr:colOff>
      <xdr:row>6</xdr:row>
      <xdr:rowOff>11559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070F9586-F8B3-4BF2-AF18-D538B4112725}"/>
            </a:ext>
          </a:extLst>
        </xdr:cNvPr>
        <xdr:cNvSpPr/>
      </xdr:nvSpPr>
      <xdr:spPr>
        <a:xfrm>
          <a:off x="2001676" y="1348898"/>
          <a:ext cx="5576267" cy="289238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 i="0" u="none" strike="noStrike">
              <a:solidFill>
                <a:schemeClr val="bg1"/>
              </a:solidFill>
              <a:latin typeface="Aptos Narrow"/>
            </a:rPr>
            <a:t>TOTAL</a:t>
          </a:r>
          <a:r>
            <a:rPr lang="en-US" sz="1050" b="1" i="0" u="none" strike="noStrike" baseline="0">
              <a:solidFill>
                <a:schemeClr val="bg1"/>
              </a:solidFill>
              <a:latin typeface="Aptos Narrow"/>
            </a:rPr>
            <a:t> SUBSCRIPTION XBOX SEASON PASS</a:t>
          </a:r>
          <a:endParaRPr lang="en-US" sz="1050" b="1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 editAs="absolute">
    <xdr:from>
      <xdr:col>0</xdr:col>
      <xdr:colOff>542192</xdr:colOff>
      <xdr:row>1</xdr:row>
      <xdr:rowOff>21981</xdr:rowOff>
    </xdr:from>
    <xdr:to>
      <xdr:col>0</xdr:col>
      <xdr:colOff>1243232</xdr:colOff>
      <xdr:row>2</xdr:row>
      <xdr:rowOff>76493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7F28F58D-DF28-4827-9A46-07F1A3A50501}"/>
            </a:ext>
          </a:extLst>
        </xdr:cNvPr>
        <xdr:cNvSpPr/>
      </xdr:nvSpPr>
      <xdr:spPr>
        <a:xfrm>
          <a:off x="542192" y="109904"/>
          <a:ext cx="701040" cy="65532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309636</xdr:colOff>
      <xdr:row>2</xdr:row>
      <xdr:rowOff>82501</xdr:rowOff>
    </xdr:from>
    <xdr:to>
      <xdr:col>1</xdr:col>
      <xdr:colOff>5422</xdr:colOff>
      <xdr:row>3</xdr:row>
      <xdr:rowOff>100672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C89A288A-1F3D-3E24-AA9D-20F0DEE38E7D}"/>
            </a:ext>
          </a:extLst>
        </xdr:cNvPr>
        <xdr:cNvSpPr/>
      </xdr:nvSpPr>
      <xdr:spPr>
        <a:xfrm>
          <a:off x="309636" y="771232"/>
          <a:ext cx="1505536" cy="2672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&gt;Bem vindo,</a:t>
          </a:r>
          <a:r>
            <a:rPr lang="pt-BR" sz="1100" baseline="0"/>
            <a:t> Luiz</a:t>
          </a:r>
          <a:endParaRPr lang="pt-BR" sz="1100"/>
        </a:p>
      </xdr:txBody>
    </xdr:sp>
    <xdr:clientData/>
  </xdr:twoCellAnchor>
  <xdr:twoCellAnchor>
    <xdr:from>
      <xdr:col>1</xdr:col>
      <xdr:colOff>139212</xdr:colOff>
      <xdr:row>3</xdr:row>
      <xdr:rowOff>76786</xdr:rowOff>
    </xdr:from>
    <xdr:to>
      <xdr:col>10</xdr:col>
      <xdr:colOff>575017</xdr:colOff>
      <xdr:row>3</xdr:row>
      <xdr:rowOff>285749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E84D61BB-21A7-0F68-6834-42F069C5CC29}"/>
            </a:ext>
          </a:extLst>
        </xdr:cNvPr>
        <xdr:cNvSpPr txBox="1"/>
      </xdr:nvSpPr>
      <xdr:spPr>
        <a:xfrm>
          <a:off x="1948962" y="1014632"/>
          <a:ext cx="5549997" cy="208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>
              <a:solidFill>
                <a:schemeClr val="bg1">
                  <a:lumMod val="50000"/>
                </a:schemeClr>
              </a:solidFill>
            </a:rPr>
            <a:t>Calculation period: 01/01/2024 a 31/12/2024 |Last Update: 25/12/2024 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Fernando" refreshedDate="46052.61174039352" createdVersion="8" refreshedVersion="8" minRefreshableVersion="3" recordCount="295" xr:uid="{FAE9FC7B-D6E1-4351-8084-0C337251DA1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522478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4CFCD-AF03-4340-B92C-6A2C161BA3E2}" name="Tabela dinâmica 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C13C6-164E-4A25-8CDC-C4F8BF2BD11F}" name="Tabela dinâmica 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3295C-32C1-4CCB-9056-641567E6D439}" name="tbl_an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DD41813-66F6-4823-B41B-A3BAC32734D3}" sourceName="Subscription Type">
  <pivotTables>
    <pivotTable tabId="3" name="tbl_annual_total"/>
    <pivotTable tabId="3" name="Tabela dinâmica 2"/>
    <pivotTable tabId="3" name="Tabela dinâmica 3"/>
  </pivotTables>
  <data>
    <tabular pivotCacheId="1352247858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8B04980-DED3-4D17-AD8D-41947702B8F1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37" sqref="F3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37" sqref="F3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F37"/>
  <sheetViews>
    <sheetView showGridLines="0" topLeftCell="A13" zoomScale="130" zoomScaleNormal="130" workbookViewId="0">
      <selection activeCell="F37" sqref="F37"/>
    </sheetView>
  </sheetViews>
  <sheetFormatPr defaultRowHeight="14.4" x14ac:dyDescent="0.3"/>
  <cols>
    <col min="2" max="2" width="16.77734375" bestFit="1" customWidth="1"/>
    <col min="3" max="3" width="32.33203125" bestFit="1" customWidth="1"/>
    <col min="4" max="4" width="29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5" spans="2:3" x14ac:dyDescent="0.3">
      <c r="B5" t="s">
        <v>316</v>
      </c>
    </row>
    <row r="6" spans="2:3" x14ac:dyDescent="0.3">
      <c r="B6" t="s">
        <v>317</v>
      </c>
    </row>
    <row r="7" spans="2:3" x14ac:dyDescent="0.3">
      <c r="B7" s="12" t="s">
        <v>16</v>
      </c>
      <c r="C7" t="s">
        <v>27</v>
      </c>
    </row>
    <row r="9" spans="2:3" x14ac:dyDescent="0.3">
      <c r="B9" s="12" t="s">
        <v>313</v>
      </c>
      <c r="C9" t="s">
        <v>315</v>
      </c>
    </row>
    <row r="10" spans="2:3" x14ac:dyDescent="0.3">
      <c r="B10" s="13" t="s">
        <v>23</v>
      </c>
      <c r="C10" s="14">
        <v>806</v>
      </c>
    </row>
    <row r="11" spans="2:3" x14ac:dyDescent="0.3">
      <c r="B11" s="13" t="s">
        <v>19</v>
      </c>
      <c r="C11" s="14">
        <v>1502</v>
      </c>
    </row>
    <row r="12" spans="2:3" x14ac:dyDescent="0.3">
      <c r="B12" s="13" t="s">
        <v>314</v>
      </c>
      <c r="C12" s="14">
        <v>2308</v>
      </c>
    </row>
    <row r="17" spans="2:6" x14ac:dyDescent="0.3">
      <c r="B17" t="s">
        <v>319</v>
      </c>
    </row>
    <row r="19" spans="2:6" x14ac:dyDescent="0.3">
      <c r="B19" s="12" t="s">
        <v>16</v>
      </c>
      <c r="C19" t="s">
        <v>27</v>
      </c>
    </row>
    <row r="21" spans="2:6" x14ac:dyDescent="0.3">
      <c r="B21" s="12" t="s">
        <v>313</v>
      </c>
      <c r="C21" t="s">
        <v>320</v>
      </c>
    </row>
    <row r="22" spans="2:6" x14ac:dyDescent="0.3">
      <c r="B22" s="13" t="s">
        <v>22</v>
      </c>
      <c r="C22">
        <v>0</v>
      </c>
    </row>
    <row r="23" spans="2:6" x14ac:dyDescent="0.3">
      <c r="B23" s="13" t="s">
        <v>26</v>
      </c>
      <c r="C23">
        <v>0</v>
      </c>
    </row>
    <row r="24" spans="2:6" x14ac:dyDescent="0.3">
      <c r="B24" s="13" t="s">
        <v>18</v>
      </c>
      <c r="C24">
        <v>990</v>
      </c>
      <c r="F24" s="16">
        <f>GETPIVOTDATA("EA Play Season Pass
Price",$B$21,"Plan","Ultimate")</f>
        <v>990</v>
      </c>
    </row>
    <row r="25" spans="2:6" x14ac:dyDescent="0.3">
      <c r="B25" s="13" t="s">
        <v>314</v>
      </c>
      <c r="C25">
        <v>990</v>
      </c>
    </row>
    <row r="29" spans="2:6" x14ac:dyDescent="0.3">
      <c r="B29" t="s">
        <v>321</v>
      </c>
    </row>
    <row r="31" spans="2:6" x14ac:dyDescent="0.3">
      <c r="B31" s="12" t="s">
        <v>16</v>
      </c>
      <c r="C31" t="s">
        <v>27</v>
      </c>
    </row>
    <row r="33" spans="2:6" x14ac:dyDescent="0.3">
      <c r="B33" s="12" t="s">
        <v>313</v>
      </c>
      <c r="C33" t="s">
        <v>322</v>
      </c>
    </row>
    <row r="34" spans="2:6" x14ac:dyDescent="0.3">
      <c r="B34" s="13" t="s">
        <v>22</v>
      </c>
      <c r="C34" s="14">
        <v>0</v>
      </c>
    </row>
    <row r="35" spans="2:6" x14ac:dyDescent="0.3">
      <c r="B35" s="13" t="s">
        <v>26</v>
      </c>
      <c r="C35" s="14">
        <v>480</v>
      </c>
    </row>
    <row r="36" spans="2:6" x14ac:dyDescent="0.3">
      <c r="B36" s="13" t="s">
        <v>18</v>
      </c>
      <c r="C36" s="14">
        <v>660</v>
      </c>
    </row>
    <row r="37" spans="2:6" x14ac:dyDescent="0.3">
      <c r="B37" s="13" t="s">
        <v>314</v>
      </c>
      <c r="C37" s="14">
        <v>1140</v>
      </c>
      <c r="F37" s="16">
        <f>GETPIVOTDATA("Minecraft Season Pass Price",$B$33)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9"/>
  <sheetViews>
    <sheetView showGridLines="0" showRowColHeaders="0" tabSelected="1" zoomScale="130" zoomScaleNormal="130" workbookViewId="0">
      <selection activeCell="F28" sqref="F28"/>
    </sheetView>
  </sheetViews>
  <sheetFormatPr defaultRowHeight="14.4" x14ac:dyDescent="0.3"/>
  <cols>
    <col min="1" max="1" width="26.33203125" style="5" customWidth="1"/>
    <col min="2" max="2" width="3.5546875" style="7" customWidth="1"/>
    <col min="3" max="11" width="8.88671875" style="7"/>
    <col min="12" max="12" width="6.5546875" style="7" customWidth="1"/>
    <col min="13" max="16384" width="8.88671875" style="7"/>
  </cols>
  <sheetData>
    <row r="1" spans="1:17" ht="6.6" customHeight="1" x14ac:dyDescent="0.3"/>
    <row r="2" spans="1:17" s="15" customFormat="1" ht="47.4" customHeight="1" thickBot="1" x14ac:dyDescent="0.45">
      <c r="A2" s="5"/>
      <c r="C2" s="18" t="s">
        <v>318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s="15" customFormat="1" ht="19.2" customHeight="1" thickTop="1" x14ac:dyDescent="0.3">
      <c r="A3" s="5"/>
    </row>
    <row r="4" spans="1:17" ht="39" customHeight="1" x14ac:dyDescent="0.3"/>
    <row r="5" spans="1:17" ht="8.25" customHeight="1" x14ac:dyDescent="0.3"/>
    <row r="6" spans="1:17" ht="7.5" customHeight="1" x14ac:dyDescent="0.3"/>
    <row r="7" spans="1:17" ht="10.5" customHeight="1" x14ac:dyDescent="0.3"/>
    <row r="8" spans="1:17" ht="9.75" customHeight="1" x14ac:dyDescent="0.3"/>
    <row r="9" spans="1:17" ht="33" customHeigh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Luiz Colman</cp:lastModifiedBy>
  <dcterms:created xsi:type="dcterms:W3CDTF">2024-12-19T13:13:10Z</dcterms:created>
  <dcterms:modified xsi:type="dcterms:W3CDTF">2026-02-03T19:03:32Z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